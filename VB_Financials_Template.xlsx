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ing\Credent-web\"/>
    </mc:Choice>
  </mc:AlternateContent>
  <xr:revisionPtr revIDLastSave="0" documentId="13_ncr:1_{217A757E-DBE3-4262-97EA-A1AC7E0A9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P&amp;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E22" i="2"/>
  <c r="D22" i="2"/>
  <c r="C22" i="2"/>
  <c r="B22" i="2"/>
  <c r="F12" i="2"/>
  <c r="E12" i="2"/>
  <c r="D12" i="2"/>
  <c r="C12" i="2"/>
  <c r="B12" i="2"/>
  <c r="F7" i="2"/>
  <c r="E7" i="2"/>
  <c r="D7" i="2"/>
  <c r="C7" i="2"/>
  <c r="B7" i="2"/>
  <c r="B17" i="1"/>
  <c r="B16" i="1"/>
  <c r="B24" i="2" l="1"/>
  <c r="F13" i="2"/>
  <c r="F16" i="1"/>
  <c r="E13" i="2"/>
  <c r="B13" i="2"/>
  <c r="F13" i="1"/>
  <c r="E13" i="1"/>
  <c r="D13" i="1"/>
  <c r="C13" i="1"/>
  <c r="B13" i="1"/>
  <c r="E14" i="2"/>
  <c r="B14" i="2"/>
  <c r="D13" i="2"/>
  <c r="C13" i="2"/>
  <c r="F23" i="2" l="1"/>
  <c r="F14" i="1"/>
  <c r="E16" i="1"/>
  <c r="E23" i="2"/>
  <c r="E14" i="1"/>
  <c r="B23" i="2"/>
  <c r="D14" i="1"/>
  <c r="D16" i="1"/>
  <c r="D23" i="2"/>
  <c r="C14" i="1"/>
  <c r="C16" i="1"/>
  <c r="C23" i="2"/>
  <c r="F14" i="2"/>
  <c r="D14" i="2"/>
  <c r="C14" i="2"/>
  <c r="F17" i="1" l="1"/>
  <c r="F24" i="2"/>
  <c r="F15" i="1"/>
  <c r="E24" i="2"/>
  <c r="E15" i="1"/>
  <c r="E17" i="1"/>
  <c r="D24" i="2"/>
  <c r="D17" i="1"/>
  <c r="D15" i="1"/>
  <c r="C24" i="2"/>
  <c r="C17" i="1"/>
  <c r="C15" i="1"/>
</calcChain>
</file>

<file path=xl/sharedStrings.xml><?xml version="1.0" encoding="utf-8"?>
<sst xmlns="http://schemas.openxmlformats.org/spreadsheetml/2006/main" count="78" uniqueCount="72">
  <si>
    <t>Auto-calculated from P&amp;L · Fill the P&amp;L sheet first</t>
  </si>
  <si>
    <t>LINE ITEM</t>
  </si>
  <si>
    <t>FY 2025-26</t>
  </si>
  <si>
    <t>FY 2026-27</t>
  </si>
  <si>
    <t>FY 2027-28</t>
  </si>
  <si>
    <t>FY 2028-29</t>
  </si>
  <si>
    <t>FY 2029-30</t>
  </si>
  <si>
    <t xml:space="preserve">  YOUR STARTUP</t>
  </si>
  <si>
    <t>Startup Name</t>
  </si>
  <si>
    <t>Credent (by Asenra)</t>
  </si>
  <si>
    <t>Founder(s)</t>
  </si>
  <si>
    <t>Karan Patil &amp; Team</t>
  </si>
  <si>
    <t>Sector / Industry</t>
  </si>
  <si>
    <t>FinTech / Banking Technology</t>
  </si>
  <si>
    <t>Stage</t>
  </si>
  <si>
    <t>Pre-revenue</t>
  </si>
  <si>
    <t>City</t>
  </si>
  <si>
    <t>Mumbai</t>
  </si>
  <si>
    <t>Funding Raised So Far</t>
  </si>
  <si>
    <t>₹ 0 (Bootstrapped)</t>
  </si>
  <si>
    <t xml:space="preserve">  KEY METRICS  (auto-calculated from P&amp;L sheet)</t>
  </si>
  <si>
    <t xml:space="preserve">    Total Revenue (₹)</t>
  </si>
  <si>
    <t xml:space="preserve">    Gross Profit (₹)</t>
  </si>
  <si>
    <t xml:space="preserve">    EBITDA (₹)</t>
  </si>
  <si>
    <t xml:space="preserve">    Gross Margin %</t>
  </si>
  <si>
    <t xml:space="preserve">    EBITDA Margin %</t>
  </si>
  <si>
    <t xml:space="preserve">  FUNDING ASK</t>
  </si>
  <si>
    <t>Amount Sought (₹)</t>
  </si>
  <si>
    <t>₹ 30,00,000 (30 Lakhs)</t>
  </si>
  <si>
    <t>Purpose / Use of Funds</t>
  </si>
  <si>
    <t>Product Development 50% · Marketing &amp; Pilot Setup 30% · Operations 20%</t>
  </si>
  <si>
    <t>Current Valuation (₹)</t>
  </si>
  <si>
    <t>₹ 3,00,00,000 (3 Crore)</t>
  </si>
  <si>
    <t>Expected Valuation in 3 Years (₹)</t>
  </si>
  <si>
    <t>₹ 15,00,00,000 (15 Crore)</t>
  </si>
  <si>
    <t>Previous Investors</t>
  </si>
  <si>
    <t>None (Bootstrapped)</t>
  </si>
  <si>
    <t xml:space="preserve">  KEY ASSUMPTIONS  (briefly describe the logic behind your numbers)</t>
  </si>
  <si>
    <t>Revenue assumption / pricing logic</t>
  </si>
  <si>
    <t>Monthly base SaaS fee of ₹15,000 per bank branch + ₹300 per credit appraisal report generated. Highly scalable and affordable for cooperative banks.</t>
  </si>
  <si>
    <t>Primary cost driver</t>
  </si>
  <si>
    <t>AI/ML engineering salaries, secure multi-tenant cloud storage (Supabase), and API execution tokens (Groq/Tesseract OCR).</t>
  </si>
  <si>
    <t>Growth driver (what will scale revenue)</t>
  </si>
  <si>
    <t>Partnerships with state cooperative bank federations and integration with cloud-based core banking systems.</t>
  </si>
  <si>
    <t>Key risk and how you will manage it</t>
  </si>
  <si>
    <t>API latency or server downtime. Managed via a local SQLite fallback database and dual-write replication to prevent any data loss.</t>
  </si>
  <si>
    <t xml:space="preserve">  Fill YELLOW cells · Blue text = your inputs · Green text = auto-calculated · Black text = formulas (do not edit)</t>
  </si>
  <si>
    <t>*fill accurately as many details as you have</t>
  </si>
  <si>
    <t>VANDE BHARATAM  ·  Profit &amp; Loss Statement  (5-Year Projection)</t>
  </si>
  <si>
    <t>Yellow cells = your inputs  ·  All figures in ₹  ·  Enter expenses as positive numbers</t>
  </si>
  <si>
    <t xml:space="preserve">  REVENUE</t>
  </si>
  <si>
    <t xml:space="preserve">    Revenue / Sales (Primary)</t>
  </si>
  <si>
    <t xml:space="preserve">    Other Income</t>
  </si>
  <si>
    <t xml:space="preserve">  TOTAL REVENUE</t>
  </si>
  <si>
    <t xml:space="preserve">  COST OF GOODS SOLD (COGS)  —  Direct costs to deliver your product/service</t>
  </si>
  <si>
    <t xml:space="preserve">    Raw Material / Input Cost</t>
  </si>
  <si>
    <t xml:space="preserve">    Direct Labour / Outsourcing</t>
  </si>
  <si>
    <t xml:space="preserve">    Other Direct Costs</t>
  </si>
  <si>
    <t xml:space="preserve">  TOTAL COGS</t>
  </si>
  <si>
    <t xml:space="preserve">  GROSS PROFIT  (Revenue − COGS)</t>
  </si>
  <si>
    <t xml:space="preserve">      Gross Margin %</t>
  </si>
  <si>
    <t xml:space="preserve">  OPERATING EXPENSES</t>
  </si>
  <si>
    <t xml:space="preserve">    Salaries &amp; Wages</t>
  </si>
  <si>
    <t xml:space="preserve">    Rent &amp; Utilities</t>
  </si>
  <si>
    <t xml:space="preserve">    Marketing &amp; Advertising</t>
  </si>
  <si>
    <t xml:space="preserve">    Technology / Software</t>
  </si>
  <si>
    <t xml:space="preserve">    Depreciation</t>
  </si>
  <si>
    <t xml:space="preserve">    Other Expenses</t>
  </si>
  <si>
    <t xml:space="preserve">  TOTAL OPERATING EXPENSES</t>
  </si>
  <si>
    <t xml:space="preserve">  EBITDA  (Gross Profit − Opex)</t>
  </si>
  <si>
    <t xml:space="preserve">      EBITDA Margin %</t>
  </si>
  <si>
    <t>Credent(By Asenra)  ·  5-Year Financial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</si>
</sst>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&quot;(₹&quot;#,##0\);\-"/>
    <numFmt numFmtId="165" formatCode="0.0%;\(0.0%\);\-"/>
  </numFmts>
  <fonts count="14" x14ac:knownFonts="1">
    <font>
      <sz val="11"/>
      <color theme="1"/>
      <name val="Calibri"/>
      <scheme val="minor"/>
    </font>
    <font>
      <b/>
      <sz val="12"/>
      <color rgb="FFFFFFFF"/>
      <name val="Arial"/>
    </font>
    <font>
      <i/>
      <sz val="8"/>
      <color rgb="FFFFFFFF"/>
      <name val="Arial"/>
    </font>
    <font>
      <b/>
      <sz val="9"/>
      <color rgb="FFFFFFFF"/>
      <name val="Arial"/>
    </font>
    <font>
      <b/>
      <sz val="9"/>
      <color rgb="FF1A1A1A"/>
      <name val="Arial"/>
    </font>
    <font>
      <sz val="9"/>
      <color rgb="FF1F4E79"/>
      <name val="Arial"/>
    </font>
    <font>
      <sz val="11"/>
      <color theme="1"/>
      <name val="Calibri"/>
    </font>
    <font>
      <b/>
      <sz val="9"/>
      <color rgb="FF166534"/>
      <name val="Arial"/>
    </font>
    <font>
      <sz val="9"/>
      <color rgb="FF166534"/>
      <name val="Arial"/>
    </font>
    <font>
      <i/>
      <sz val="11"/>
      <color theme="1"/>
      <name val="Calibri"/>
    </font>
    <font>
      <sz val="9"/>
      <color rgb="FF1A1A1A"/>
      <name val="Arial"/>
    </font>
    <font>
      <b/>
      <sz val="9"/>
      <color rgb="FF2D1B69"/>
      <name val="Arial"/>
    </font>
    <font>
      <i/>
      <sz val="9"/>
      <color rgb="FF8E8E9A"/>
      <name val="Arial"/>
    </font>
    <font>
      <i/>
      <sz val="8"/>
      <color rgb="FF8E8E9A"/>
      <name val="Arial"/>
    </font>
  </fonts>
  <fills count="8">
    <fill>
      <patternFill patternType="none"/>
    </fill>
    <fill>
      <patternFill patternType="gray125"/>
    </fill>
    <fill>
      <patternFill patternType="solid">
        <fgColor rgb="FF2D1B69"/>
        <bgColor rgb="FF2D1B69"/>
      </patternFill>
    </fill>
    <fill>
      <patternFill patternType="solid">
        <fgColor rgb="FF00B4D8"/>
        <bgColor rgb="FF00B4D8"/>
      </patternFill>
    </fill>
    <fill>
      <patternFill patternType="solid">
        <fgColor rgb="FFFFFFFF"/>
        <bgColor rgb="FFFFFFFF"/>
      </patternFill>
    </fill>
    <fill>
      <patternFill patternType="solid">
        <fgColor rgb="FFFFF9E6"/>
        <bgColor rgb="FFFFF9E6"/>
      </patternFill>
    </fill>
    <fill>
      <patternFill patternType="solid">
        <fgColor rgb="FFF4F4F6"/>
        <bgColor rgb="FFF4F4F6"/>
      </patternFill>
    </fill>
    <fill>
      <patternFill patternType="solid">
        <fgColor rgb="FFE91E8C"/>
        <bgColor rgb="FFE91E8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D1B69"/>
      </left>
      <right/>
      <top style="thin">
        <color rgb="FF2D1B69"/>
      </top>
      <bottom style="thin">
        <color rgb="FF2D1B69"/>
      </bottom>
      <diagonal/>
    </border>
    <border>
      <left/>
      <right/>
      <top style="thin">
        <color rgb="FF2D1B69"/>
      </top>
      <bottom style="thin">
        <color rgb="FF2D1B69"/>
      </bottom>
      <diagonal/>
    </border>
    <border>
      <left style="thin">
        <color rgb="FFD0D0DA"/>
      </left>
      <right style="thin">
        <color rgb="FFD0D0DA"/>
      </right>
      <top style="thin">
        <color rgb="FFD0D0DA"/>
      </top>
      <bottom style="thin">
        <color rgb="FFD0D0DA"/>
      </bottom>
      <diagonal/>
    </border>
    <border>
      <left style="thin">
        <color rgb="FFD0D0DA"/>
      </left>
      <right/>
      <top style="thin">
        <color rgb="FFD0D0DA"/>
      </top>
      <bottom style="thin">
        <color rgb="FFD0D0DA"/>
      </bottom>
      <diagonal/>
    </border>
    <border>
      <left/>
      <right/>
      <top style="thin">
        <color rgb="FFD0D0DA"/>
      </top>
      <bottom style="thin">
        <color rgb="FFD0D0DA"/>
      </bottom>
      <diagonal/>
    </border>
    <border>
      <left style="thin">
        <color rgb="FF00B4D8"/>
      </left>
      <right/>
      <top style="thin">
        <color rgb="FF00B4D8"/>
      </top>
      <bottom style="thin">
        <color rgb="FF00B4D8"/>
      </bottom>
      <diagonal/>
    </border>
    <border>
      <left/>
      <right/>
      <top style="thin">
        <color rgb="FF00B4D8"/>
      </top>
      <bottom style="thin">
        <color rgb="FF00B4D8"/>
      </bottom>
      <diagonal/>
    </border>
    <border>
      <left style="thin">
        <color rgb="FFE91E8C"/>
      </left>
      <right/>
      <top style="thin">
        <color rgb="FFE91E8C"/>
      </top>
      <bottom style="thin">
        <color rgb="FFE91E8C"/>
      </bottom>
      <diagonal/>
    </border>
    <border>
      <left/>
      <right/>
      <top style="thin">
        <color rgb="FFE91E8C"/>
      </top>
      <bottom style="thin">
        <color rgb="FFE91E8C"/>
      </bottom>
      <diagonal/>
    </border>
    <border>
      <left style="thin">
        <color rgb="FFD0D0DA"/>
      </left>
      <right style="thin">
        <color rgb="FFD0D0DA"/>
      </right>
      <top style="thin">
        <color rgb="FFD0D0DA"/>
      </top>
      <bottom style="medium">
        <color rgb="FF00B4D8"/>
      </bottom>
      <diagonal/>
    </border>
    <border>
      <left style="thin">
        <color rgb="FF2D1B69"/>
      </left>
      <right style="thin">
        <color rgb="FF2D1B69"/>
      </right>
      <top style="thin">
        <color rgb="FF2D1B69"/>
      </top>
      <bottom style="thin">
        <color rgb="FF2D1B69"/>
      </bottom>
      <diagonal/>
    </border>
  </borders>
  <cellStyleXfs count="1">
    <xf numFmtId="0" fontId="0" fillId="0" borderId="1"/>
  </cellStyleXfs>
  <cellXfs count="28">
    <xf numFmtId="0" fontId="0" fillId="0" borderId="0" xfId="0" applyBorder="1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/>
    </xf>
    <xf numFmtId="164" fontId="7" fillId="6" borderId="5" xfId="0" applyNumberFormat="1" applyFont="1" applyFill="1" applyBorder="1" applyAlignment="1">
      <alignment horizontal="right" vertical="center"/>
    </xf>
    <xf numFmtId="165" fontId="8" fillId="6" borderId="5" xfId="0" applyNumberFormat="1" applyFont="1" applyFill="1" applyBorder="1" applyAlignment="1">
      <alignment horizontal="right" vertical="center"/>
    </xf>
    <xf numFmtId="0" fontId="9" fillId="0" borderId="0" xfId="0" applyFont="1" applyBorder="1"/>
    <xf numFmtId="0" fontId="10" fillId="4" borderId="5" xfId="0" applyFont="1" applyFill="1" applyBorder="1" applyAlignment="1">
      <alignment horizontal="left" vertical="center"/>
    </xf>
    <xf numFmtId="164" fontId="5" fillId="5" borderId="5" xfId="0" applyNumberFormat="1" applyFont="1" applyFill="1" applyBorder="1" applyAlignment="1">
      <alignment horizontal="right" vertical="center"/>
    </xf>
    <xf numFmtId="0" fontId="11" fillId="6" borderId="12" xfId="0" applyFont="1" applyFill="1" applyBorder="1" applyAlignment="1">
      <alignment horizontal="left" vertical="center"/>
    </xf>
    <xf numFmtId="164" fontId="11" fillId="6" borderId="12" xfId="0" applyNumberFormat="1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left" vertical="center"/>
    </xf>
    <xf numFmtId="164" fontId="3" fillId="2" borderId="13" xfId="0" applyNumberFormat="1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left" vertical="center"/>
    </xf>
    <xf numFmtId="165" fontId="13" fillId="4" borderId="5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left" vertical="center"/>
    </xf>
    <xf numFmtId="0" fontId="0" fillId="0" borderId="7" xfId="0" applyBorder="1"/>
    <xf numFmtId="0" fontId="6" fillId="4" borderId="1" xfId="0" applyFont="1" applyFill="1"/>
    <xf numFmtId="0" fontId="0" fillId="0" borderId="0" xfId="0" applyBorder="1"/>
    <xf numFmtId="0" fontId="3" fillId="3" borderId="8" xfId="0" applyFont="1" applyFill="1" applyBorder="1" applyAlignment="1">
      <alignment horizontal="left" vertical="center"/>
    </xf>
    <xf numFmtId="0" fontId="0" fillId="0" borderId="9" xfId="0" applyBorder="1"/>
    <xf numFmtId="0" fontId="2" fillId="3" borderId="1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0" fillId="0" borderId="4" xfId="0" applyBorder="1"/>
    <xf numFmtId="0" fontId="3" fillId="7" borderId="10" xfId="0" applyFont="1" applyFill="1" applyBorder="1" applyAlignment="1">
      <alignment horizontal="left" vertical="center"/>
    </xf>
    <xf numFmtId="0" fontId="0" fillId="0" borderId="11" xfId="0" applyBorder="1"/>
    <xf numFmtId="0" fontId="2" fillId="2" borderId="1" xfId="0" applyFont="1" applyFill="1" applyAlignment="1">
      <alignment horizontal="left" vertical="center"/>
    </xf>
    <xf numFmtId="0" fontId="1" fillId="2" borderId="1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zoomScale="104" workbookViewId="0">
      <pane ySplit="3" topLeftCell="A4" activePane="bottomLeft" state="frozen"/>
      <selection pane="bottomLeft" sqref="A1:F1"/>
    </sheetView>
  </sheetViews>
  <sheetFormatPr defaultColWidth="14.44140625" defaultRowHeight="15" customHeight="1" x14ac:dyDescent="0.3"/>
  <cols>
    <col min="1" max="1" width="32" customWidth="1"/>
    <col min="2" max="6" width="15" customWidth="1"/>
    <col min="7" max="24" width="8.5546875" customWidth="1"/>
  </cols>
  <sheetData>
    <row r="1" spans="1:6" ht="24" customHeight="1" x14ac:dyDescent="0.3">
      <c r="A1" s="27" t="s">
        <v>71</v>
      </c>
      <c r="B1" s="18"/>
      <c r="C1" s="18"/>
      <c r="D1" s="18"/>
      <c r="E1" s="18"/>
      <c r="F1" s="18"/>
    </row>
    <row r="2" spans="1:6" ht="15" customHeight="1" x14ac:dyDescent="0.3">
      <c r="A2" s="21" t="s">
        <v>0</v>
      </c>
      <c r="B2" s="18"/>
      <c r="C2" s="18"/>
      <c r="D2" s="18"/>
      <c r="E2" s="18"/>
      <c r="F2" s="18"/>
    </row>
    <row r="3" spans="1:6" ht="19.5" customHeigh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6.5" customHeight="1" x14ac:dyDescent="0.3">
      <c r="A4" s="22" t="s">
        <v>7</v>
      </c>
      <c r="B4" s="23"/>
      <c r="C4" s="23"/>
      <c r="D4" s="23"/>
      <c r="E4" s="23"/>
      <c r="F4" s="23"/>
    </row>
    <row r="5" spans="1:6" ht="16.5" customHeight="1" x14ac:dyDescent="0.3">
      <c r="A5" s="3" t="s">
        <v>8</v>
      </c>
      <c r="B5" s="15" t="s">
        <v>9</v>
      </c>
      <c r="C5" s="16"/>
      <c r="D5" s="16"/>
      <c r="E5" s="16"/>
      <c r="F5" s="16"/>
    </row>
    <row r="6" spans="1:6" ht="16.5" customHeight="1" x14ac:dyDescent="0.3">
      <c r="A6" s="3" t="s">
        <v>10</v>
      </c>
      <c r="B6" s="15" t="s">
        <v>11</v>
      </c>
      <c r="C6" s="16"/>
      <c r="D6" s="16"/>
      <c r="E6" s="16"/>
      <c r="F6" s="16"/>
    </row>
    <row r="7" spans="1:6" ht="16.5" customHeight="1" x14ac:dyDescent="0.3">
      <c r="A7" s="3" t="s">
        <v>12</v>
      </c>
      <c r="B7" s="15" t="s">
        <v>13</v>
      </c>
      <c r="C7" s="16"/>
      <c r="D7" s="16"/>
      <c r="E7" s="16"/>
      <c r="F7" s="16"/>
    </row>
    <row r="8" spans="1:6" ht="16.5" customHeight="1" x14ac:dyDescent="0.3">
      <c r="A8" s="3" t="s">
        <v>14</v>
      </c>
      <c r="B8" s="15" t="s">
        <v>15</v>
      </c>
      <c r="C8" s="16"/>
      <c r="D8" s="16"/>
      <c r="E8" s="16"/>
      <c r="F8" s="16"/>
    </row>
    <row r="9" spans="1:6" ht="16.5" customHeight="1" x14ac:dyDescent="0.3">
      <c r="A9" s="3" t="s">
        <v>16</v>
      </c>
      <c r="B9" s="15" t="s">
        <v>17</v>
      </c>
      <c r="C9" s="16"/>
      <c r="D9" s="16"/>
      <c r="E9" s="16"/>
      <c r="F9" s="16"/>
    </row>
    <row r="10" spans="1:6" ht="16.5" customHeight="1" x14ac:dyDescent="0.3">
      <c r="A10" s="3" t="s">
        <v>18</v>
      </c>
      <c r="B10" s="15" t="s">
        <v>19</v>
      </c>
      <c r="C10" s="16"/>
      <c r="D10" s="16"/>
      <c r="E10" s="16"/>
      <c r="F10" s="16"/>
    </row>
    <row r="11" spans="1:6" ht="6" customHeight="1" x14ac:dyDescent="0.3">
      <c r="A11" s="17"/>
      <c r="B11" s="18"/>
      <c r="C11" s="18"/>
      <c r="D11" s="18"/>
      <c r="E11" s="18"/>
      <c r="F11" s="18"/>
    </row>
    <row r="12" spans="1:6" ht="16.5" customHeight="1" x14ac:dyDescent="0.3">
      <c r="A12" s="19" t="s">
        <v>20</v>
      </c>
      <c r="B12" s="20"/>
      <c r="C12" s="20"/>
      <c r="D12" s="20"/>
      <c r="E12" s="20"/>
      <c r="F12" s="20"/>
    </row>
    <row r="13" spans="1:6" ht="16.5" customHeight="1" x14ac:dyDescent="0.3">
      <c r="A13" s="3" t="s">
        <v>21</v>
      </c>
      <c r="B13" s="4">
        <f>'P&amp;L'!B7</f>
        <v>0</v>
      </c>
      <c r="C13" s="4">
        <f>'P&amp;L'!C7</f>
        <v>500000</v>
      </c>
      <c r="D13" s="4">
        <f>'P&amp;L'!D7</f>
        <v>2000000</v>
      </c>
      <c r="E13" s="4">
        <f>'P&amp;L'!E7</f>
        <v>6000000</v>
      </c>
      <c r="F13" s="4">
        <f>'P&amp;L'!F7</f>
        <v>15000000</v>
      </c>
    </row>
    <row r="14" spans="1:6" ht="16.5" customHeight="1" x14ac:dyDescent="0.3">
      <c r="A14" s="3" t="s">
        <v>22</v>
      </c>
      <c r="B14" s="4"/>
      <c r="C14" s="4">
        <f>'P&amp;L'!C13</f>
        <v>420000</v>
      </c>
      <c r="D14" s="4">
        <f>'P&amp;L'!D13</f>
        <v>1800000</v>
      </c>
      <c r="E14" s="4">
        <f>'P&amp;L'!E13</f>
        <v>5500000</v>
      </c>
      <c r="F14" s="4">
        <f>'P&amp;L'!F13</f>
        <v>13900000</v>
      </c>
    </row>
    <row r="15" spans="1:6" ht="16.5" customHeight="1" x14ac:dyDescent="0.3">
      <c r="A15" s="3" t="s">
        <v>23</v>
      </c>
      <c r="B15" s="4"/>
      <c r="C15" s="4">
        <f>'P&amp;L'!C23</f>
        <v>-608000</v>
      </c>
      <c r="D15" s="4">
        <f>'P&amp;L'!D23</f>
        <v>-250000</v>
      </c>
      <c r="E15" s="4">
        <f>'P&amp;L'!E23</f>
        <v>1210000</v>
      </c>
      <c r="F15" s="4">
        <f>'P&amp;L'!F23</f>
        <v>4620000</v>
      </c>
    </row>
    <row r="16" spans="1:6" ht="16.5" customHeight="1" x14ac:dyDescent="0.3">
      <c r="A16" s="3" t="s">
        <v>24</v>
      </c>
      <c r="B16" s="5" t="str">
        <f>IF('P&amp;L'!B7=0,"",'P&amp;L'!B13/'P&amp;L'!B7)</f>
        <v/>
      </c>
      <c r="C16" s="5">
        <f>IF('P&amp;L'!C7=0,"",'P&amp;L'!C13/'P&amp;L'!C7)</f>
        <v>0.84</v>
      </c>
      <c r="D16" s="5">
        <f>IF('P&amp;L'!D7=0,"",'P&amp;L'!D13/'P&amp;L'!D7)</f>
        <v>0.9</v>
      </c>
      <c r="E16" s="5">
        <f>IF('P&amp;L'!E7=0,"",'P&amp;L'!E13/'P&amp;L'!E7)</f>
        <v>0.91666666666666663</v>
      </c>
      <c r="F16" s="5">
        <f>IF('P&amp;L'!F7=0,"",'P&amp;L'!F13/'P&amp;L'!F7)</f>
        <v>0.92666666666666664</v>
      </c>
    </row>
    <row r="17" spans="1:6" ht="16.5" customHeight="1" x14ac:dyDescent="0.3">
      <c r="A17" s="3" t="s">
        <v>25</v>
      </c>
      <c r="B17" s="5" t="str">
        <f>IF('P&amp;L'!B7=0,"",'P&amp;L'!B23/'P&amp;L'!B7)</f>
        <v/>
      </c>
      <c r="C17" s="5">
        <f>IF('P&amp;L'!C7=0,"",'P&amp;L'!C23/'P&amp;L'!C7)</f>
        <v>-1.216</v>
      </c>
      <c r="D17" s="5">
        <f>IF('P&amp;L'!D7=0,"",'P&amp;L'!D23/'P&amp;L'!D7)</f>
        <v>-0.125</v>
      </c>
      <c r="E17" s="5">
        <f>IF('P&amp;L'!E7=0,"",'P&amp;L'!E23/'P&amp;L'!E7)</f>
        <v>0.20166666666666666</v>
      </c>
      <c r="F17" s="5">
        <f>IF('P&amp;L'!F7=0,"",'P&amp;L'!F23/'P&amp;L'!F7)</f>
        <v>0.308</v>
      </c>
    </row>
    <row r="18" spans="1:6" ht="6" customHeight="1" x14ac:dyDescent="0.3">
      <c r="A18" s="17"/>
      <c r="B18" s="18"/>
      <c r="C18" s="18"/>
      <c r="D18" s="18"/>
      <c r="E18" s="18"/>
      <c r="F18" s="18"/>
    </row>
    <row r="19" spans="1:6" ht="16.5" customHeight="1" x14ac:dyDescent="0.3">
      <c r="A19" s="24" t="s">
        <v>26</v>
      </c>
      <c r="B19" s="25"/>
      <c r="C19" s="25"/>
      <c r="D19" s="25"/>
      <c r="E19" s="25"/>
      <c r="F19" s="25"/>
    </row>
    <row r="20" spans="1:6" ht="16.5" customHeight="1" x14ac:dyDescent="0.3">
      <c r="A20" s="3" t="s">
        <v>27</v>
      </c>
      <c r="B20" s="15" t="s">
        <v>28</v>
      </c>
      <c r="C20" s="16"/>
      <c r="D20" s="16"/>
      <c r="E20" s="16"/>
      <c r="F20" s="16"/>
    </row>
    <row r="21" spans="1:6" ht="16.5" customHeight="1" x14ac:dyDescent="0.3">
      <c r="A21" s="3" t="s">
        <v>29</v>
      </c>
      <c r="B21" s="15" t="s">
        <v>30</v>
      </c>
      <c r="C21" s="16"/>
      <c r="D21" s="16"/>
      <c r="E21" s="16"/>
      <c r="F21" s="16"/>
    </row>
    <row r="22" spans="1:6" ht="16.5" customHeight="1" x14ac:dyDescent="0.3">
      <c r="A22" s="3" t="s">
        <v>31</v>
      </c>
      <c r="B22" s="15" t="s">
        <v>32</v>
      </c>
      <c r="C22" s="16"/>
      <c r="D22" s="16"/>
      <c r="E22" s="16"/>
      <c r="F22" s="16"/>
    </row>
    <row r="23" spans="1:6" ht="16.5" customHeight="1" x14ac:dyDescent="0.3">
      <c r="A23" s="3" t="s">
        <v>33</v>
      </c>
      <c r="B23" s="15" t="s">
        <v>34</v>
      </c>
      <c r="C23" s="16"/>
      <c r="D23" s="16"/>
      <c r="E23" s="16"/>
      <c r="F23" s="16"/>
    </row>
    <row r="24" spans="1:6" ht="16.5" customHeight="1" x14ac:dyDescent="0.3">
      <c r="A24" s="3" t="s">
        <v>35</v>
      </c>
      <c r="B24" s="15" t="s">
        <v>36</v>
      </c>
      <c r="C24" s="16"/>
      <c r="D24" s="16"/>
      <c r="E24" s="16"/>
      <c r="F24" s="16"/>
    </row>
    <row r="25" spans="1:6" ht="16.5" customHeight="1" x14ac:dyDescent="0.3">
      <c r="A25" s="22" t="s">
        <v>37</v>
      </c>
      <c r="B25" s="23"/>
      <c r="C25" s="23"/>
      <c r="D25" s="23"/>
      <c r="E25" s="23"/>
      <c r="F25" s="23"/>
    </row>
    <row r="26" spans="1:6" ht="16.5" customHeight="1" x14ac:dyDescent="0.3">
      <c r="A26" s="3" t="s">
        <v>38</v>
      </c>
      <c r="B26" s="15" t="s">
        <v>39</v>
      </c>
      <c r="C26" s="16"/>
      <c r="D26" s="16"/>
      <c r="E26" s="16"/>
      <c r="F26" s="16"/>
    </row>
    <row r="27" spans="1:6" ht="16.5" customHeight="1" x14ac:dyDescent="0.3">
      <c r="A27" s="3" t="s">
        <v>40</v>
      </c>
      <c r="B27" s="15" t="s">
        <v>41</v>
      </c>
      <c r="C27" s="16"/>
      <c r="D27" s="16"/>
      <c r="E27" s="16"/>
      <c r="F27" s="16"/>
    </row>
    <row r="28" spans="1:6" ht="16.5" customHeight="1" x14ac:dyDescent="0.3">
      <c r="A28" s="3" t="s">
        <v>42</v>
      </c>
      <c r="B28" s="15" t="s">
        <v>43</v>
      </c>
      <c r="C28" s="16"/>
      <c r="D28" s="16"/>
      <c r="E28" s="16"/>
      <c r="F28" s="16"/>
    </row>
    <row r="29" spans="1:6" ht="16.5" customHeight="1" x14ac:dyDescent="0.3">
      <c r="A29" s="3" t="s">
        <v>44</v>
      </c>
      <c r="B29" s="15" t="s">
        <v>45</v>
      </c>
      <c r="C29" s="16"/>
      <c r="D29" s="16"/>
      <c r="E29" s="16"/>
      <c r="F29" s="16"/>
    </row>
    <row r="30" spans="1:6" ht="6" customHeight="1" x14ac:dyDescent="0.3">
      <c r="A30" s="17"/>
      <c r="B30" s="18"/>
      <c r="C30" s="18"/>
      <c r="D30" s="18"/>
      <c r="E30" s="18"/>
      <c r="F30" s="18"/>
    </row>
    <row r="31" spans="1:6" ht="15.75" customHeight="1" x14ac:dyDescent="0.3">
      <c r="A31" s="26" t="s">
        <v>46</v>
      </c>
      <c r="B31" s="18"/>
      <c r="C31" s="18"/>
      <c r="D31" s="18"/>
      <c r="E31" s="18"/>
      <c r="F31" s="18"/>
    </row>
    <row r="32" spans="1:6" ht="14.25" customHeight="1" x14ac:dyDescent="0.3"/>
    <row r="33" spans="1:1" ht="14.25" customHeight="1" x14ac:dyDescent="0.3">
      <c r="A33" s="6"/>
    </row>
    <row r="34" spans="1:1" ht="14.25" customHeight="1" x14ac:dyDescent="0.3"/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25">
    <mergeCell ref="A1:F1"/>
    <mergeCell ref="B5:F5"/>
    <mergeCell ref="B26:F26"/>
    <mergeCell ref="A25:F25"/>
    <mergeCell ref="A31:F31"/>
    <mergeCell ref="A30:F30"/>
    <mergeCell ref="B9:F9"/>
    <mergeCell ref="A11:F11"/>
    <mergeCell ref="B6:F6"/>
    <mergeCell ref="B24:F24"/>
    <mergeCell ref="B20:F20"/>
    <mergeCell ref="A2:F2"/>
    <mergeCell ref="B23:F23"/>
    <mergeCell ref="A4:F4"/>
    <mergeCell ref="B8:F8"/>
    <mergeCell ref="B29:F29"/>
    <mergeCell ref="A19:F19"/>
    <mergeCell ref="B10:F10"/>
    <mergeCell ref="B28:F28"/>
    <mergeCell ref="B7:F7"/>
    <mergeCell ref="A18:F18"/>
    <mergeCell ref="A12:F12"/>
    <mergeCell ref="B22:F22"/>
    <mergeCell ref="B27:F27"/>
    <mergeCell ref="B21:F2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2"/>
  <sheetViews>
    <sheetView workbookViewId="0">
      <pane ySplit="3" topLeftCell="A4" activePane="bottomLeft" state="frozen"/>
      <selection pane="bottomLeft" activeCell="I9" sqref="I9"/>
    </sheetView>
  </sheetViews>
  <sheetFormatPr defaultColWidth="14.44140625" defaultRowHeight="15" customHeight="1" x14ac:dyDescent="0.3"/>
  <cols>
    <col min="1" max="1" width="32" customWidth="1"/>
    <col min="2" max="6" width="15" customWidth="1"/>
    <col min="7" max="24" width="8.5546875" customWidth="1"/>
  </cols>
  <sheetData>
    <row r="1" spans="1:6" ht="24" customHeight="1" x14ac:dyDescent="0.3">
      <c r="A1" s="27" t="s">
        <v>48</v>
      </c>
      <c r="B1" s="18"/>
      <c r="C1" s="18"/>
      <c r="D1" s="18"/>
      <c r="E1" s="18"/>
      <c r="F1" s="18"/>
    </row>
    <row r="2" spans="1:6" ht="15" customHeight="1" x14ac:dyDescent="0.3">
      <c r="A2" s="21" t="s">
        <v>49</v>
      </c>
      <c r="B2" s="18"/>
      <c r="C2" s="18"/>
      <c r="D2" s="18"/>
      <c r="E2" s="18"/>
      <c r="F2" s="18"/>
    </row>
    <row r="3" spans="1:6" ht="19.5" customHeigh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6.5" customHeight="1" x14ac:dyDescent="0.3">
      <c r="A4" s="19" t="s">
        <v>50</v>
      </c>
      <c r="B4" s="20"/>
      <c r="C4" s="20"/>
      <c r="D4" s="20"/>
      <c r="E4" s="20"/>
      <c r="F4" s="20"/>
    </row>
    <row r="5" spans="1:6" ht="16.5" customHeight="1" x14ac:dyDescent="0.3">
      <c r="A5" s="7" t="s">
        <v>51</v>
      </c>
      <c r="B5" s="8">
        <v>0</v>
      </c>
      <c r="C5" s="8">
        <v>500000</v>
      </c>
      <c r="D5" s="8">
        <v>2000000</v>
      </c>
      <c r="E5" s="8">
        <v>6000000</v>
      </c>
      <c r="F5" s="8">
        <v>15000000</v>
      </c>
    </row>
    <row r="6" spans="1:6" ht="16.5" customHeight="1" x14ac:dyDescent="0.3">
      <c r="A6" s="7" t="s">
        <v>52</v>
      </c>
      <c r="B6" s="8">
        <v>0</v>
      </c>
      <c r="C6" s="8">
        <v>0</v>
      </c>
      <c r="D6" s="8">
        <v>0</v>
      </c>
      <c r="E6" s="8">
        <v>0</v>
      </c>
      <c r="F6" s="8">
        <v>0</v>
      </c>
    </row>
    <row r="7" spans="1:6" ht="16.5" customHeight="1" x14ac:dyDescent="0.3">
      <c r="A7" s="9" t="s">
        <v>53</v>
      </c>
      <c r="B7" s="10">
        <f>SUM(B5:B6)</f>
        <v>0</v>
      </c>
      <c r="C7" s="10">
        <f>SUM(C5:C6)</f>
        <v>500000</v>
      </c>
      <c r="D7" s="10">
        <f>SUM(D5:D6)</f>
        <v>2000000</v>
      </c>
      <c r="E7" s="10">
        <f>SUM(E5:E6)</f>
        <v>6000000</v>
      </c>
      <c r="F7" s="10">
        <f>SUM(F5:F6)</f>
        <v>15000000</v>
      </c>
    </row>
    <row r="8" spans="1:6" ht="16.5" customHeight="1" x14ac:dyDescent="0.3">
      <c r="A8" s="19" t="s">
        <v>54</v>
      </c>
      <c r="B8" s="20"/>
      <c r="C8" s="20"/>
      <c r="D8" s="20"/>
      <c r="E8" s="20"/>
      <c r="F8" s="20"/>
    </row>
    <row r="9" spans="1:6" ht="16.5" customHeight="1" x14ac:dyDescent="0.3">
      <c r="A9" s="7" t="s">
        <v>55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ht="16.5" customHeight="1" x14ac:dyDescent="0.3">
      <c r="A10" s="7" t="s">
        <v>56</v>
      </c>
      <c r="B10" s="8">
        <v>0</v>
      </c>
      <c r="C10" s="8">
        <v>50000</v>
      </c>
      <c r="D10" s="8">
        <v>100000</v>
      </c>
      <c r="E10" s="8">
        <v>250000</v>
      </c>
      <c r="F10" s="8">
        <v>500000</v>
      </c>
    </row>
    <row r="11" spans="1:6" ht="16.5" customHeight="1" x14ac:dyDescent="0.3">
      <c r="A11" s="7" t="s">
        <v>57</v>
      </c>
      <c r="B11" s="8">
        <v>10000</v>
      </c>
      <c r="C11" s="8">
        <v>30000</v>
      </c>
      <c r="D11" s="8">
        <v>100000</v>
      </c>
      <c r="E11" s="8">
        <v>250000</v>
      </c>
      <c r="F11" s="8">
        <v>600000</v>
      </c>
    </row>
    <row r="12" spans="1:6" ht="16.5" customHeight="1" x14ac:dyDescent="0.3">
      <c r="A12" s="9" t="s">
        <v>58</v>
      </c>
      <c r="B12" s="10">
        <f>SUM(B9:B11)</f>
        <v>10000</v>
      </c>
      <c r="C12" s="10">
        <f>SUM(C9:C11)</f>
        <v>80000</v>
      </c>
      <c r="D12" s="10">
        <f>SUM(D9:D11)</f>
        <v>200000</v>
      </c>
      <c r="E12" s="10">
        <f>SUM(E9:E11)</f>
        <v>500000</v>
      </c>
      <c r="F12" s="10">
        <f>SUM(F9:F11)</f>
        <v>1100000</v>
      </c>
    </row>
    <row r="13" spans="1:6" ht="21" customHeight="1" x14ac:dyDescent="0.3">
      <c r="A13" s="11" t="s">
        <v>59</v>
      </c>
      <c r="B13" s="12">
        <f>B7-B12</f>
        <v>-10000</v>
      </c>
      <c r="C13" s="12">
        <f>C7-C12</f>
        <v>420000</v>
      </c>
      <c r="D13" s="12">
        <f>D7-D12</f>
        <v>1800000</v>
      </c>
      <c r="E13" s="12">
        <f>E7-E12</f>
        <v>5500000</v>
      </c>
      <c r="F13" s="12">
        <f>F7-F12</f>
        <v>13900000</v>
      </c>
    </row>
    <row r="14" spans="1:6" ht="24" customHeight="1" x14ac:dyDescent="0.3">
      <c r="A14" s="13" t="s">
        <v>60</v>
      </c>
      <c r="B14" s="14" t="str">
        <f>IF(B7=0,"",B13/B7)</f>
        <v/>
      </c>
      <c r="C14" s="14">
        <f>IF(C7=0,"",C13/C7)</f>
        <v>0.84</v>
      </c>
      <c r="D14" s="14">
        <f>IF(D7=0,"",D13/D7)</f>
        <v>0.9</v>
      </c>
      <c r="E14" s="14">
        <f>IF(E7=0,"",E13/E7)</f>
        <v>0.91666666666666663</v>
      </c>
      <c r="F14" s="14">
        <f>IF(F7=0,"",F13/F7)</f>
        <v>0.92666666666666664</v>
      </c>
    </row>
    <row r="15" spans="1:6" ht="16.5" customHeight="1" x14ac:dyDescent="0.3">
      <c r="A15" s="19" t="s">
        <v>61</v>
      </c>
      <c r="B15" s="20"/>
      <c r="C15" s="20"/>
      <c r="D15" s="20"/>
      <c r="E15" s="20"/>
      <c r="F15" s="20"/>
    </row>
    <row r="16" spans="1:6" ht="16.5" customHeight="1" x14ac:dyDescent="0.3">
      <c r="A16" s="7" t="s">
        <v>62</v>
      </c>
      <c r="B16" s="8">
        <v>300000</v>
      </c>
      <c r="C16" s="8">
        <v>800000</v>
      </c>
      <c r="D16" s="8">
        <v>1500000</v>
      </c>
      <c r="E16" s="8">
        <v>3000000</v>
      </c>
      <c r="F16" s="8">
        <v>6000000</v>
      </c>
    </row>
    <row r="17" spans="1:6" ht="16.5" customHeight="1" x14ac:dyDescent="0.3">
      <c r="A17" s="7" t="s">
        <v>63</v>
      </c>
      <c r="B17" s="8">
        <v>24000</v>
      </c>
      <c r="C17" s="8">
        <v>48000</v>
      </c>
      <c r="D17" s="8">
        <v>120000</v>
      </c>
      <c r="E17" s="8">
        <v>240000</v>
      </c>
      <c r="F17" s="8">
        <v>480000</v>
      </c>
    </row>
    <row r="18" spans="1:6" ht="16.5" customHeight="1" x14ac:dyDescent="0.3">
      <c r="A18" s="7" t="s">
        <v>64</v>
      </c>
      <c r="B18" s="8">
        <v>30000</v>
      </c>
      <c r="C18" s="8">
        <v>80000</v>
      </c>
      <c r="D18" s="8">
        <v>200000</v>
      </c>
      <c r="E18" s="8">
        <v>500000</v>
      </c>
      <c r="F18" s="8">
        <v>1500000</v>
      </c>
    </row>
    <row r="19" spans="1:6" ht="16.5" customHeight="1" x14ac:dyDescent="0.3">
      <c r="A19" s="7" t="s">
        <v>65</v>
      </c>
      <c r="B19" s="8">
        <v>30000</v>
      </c>
      <c r="C19" s="8">
        <v>60000</v>
      </c>
      <c r="D19" s="8">
        <v>150000</v>
      </c>
      <c r="E19" s="8">
        <v>400000</v>
      </c>
      <c r="F19" s="8">
        <v>1000000</v>
      </c>
    </row>
    <row r="20" spans="1:6" ht="16.5" customHeight="1" x14ac:dyDescent="0.3">
      <c r="A20" s="7" t="s">
        <v>66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6.5" customHeight="1" x14ac:dyDescent="0.3">
      <c r="A21" s="7" t="s">
        <v>67</v>
      </c>
      <c r="B21" s="8">
        <v>20000</v>
      </c>
      <c r="C21" s="8">
        <v>40000</v>
      </c>
      <c r="D21" s="8">
        <v>80000</v>
      </c>
      <c r="E21" s="8">
        <v>150000</v>
      </c>
      <c r="F21" s="8">
        <v>300000</v>
      </c>
    </row>
    <row r="22" spans="1:6" ht="16.5" customHeight="1" x14ac:dyDescent="0.3">
      <c r="A22" s="9" t="s">
        <v>68</v>
      </c>
      <c r="B22" s="10">
        <f>SUM(B16:B21)</f>
        <v>404000</v>
      </c>
      <c r="C22" s="10">
        <f>SUM(C16:C21)</f>
        <v>1028000</v>
      </c>
      <c r="D22" s="10">
        <f>SUM(D16:D21)</f>
        <v>2050000</v>
      </c>
      <c r="E22" s="10">
        <f>SUM(E16:E21)</f>
        <v>4290000</v>
      </c>
      <c r="F22" s="10">
        <f>SUM(F16:F21)</f>
        <v>9280000</v>
      </c>
    </row>
    <row r="23" spans="1:6" ht="18" customHeight="1" x14ac:dyDescent="0.3">
      <c r="A23" s="11" t="s">
        <v>69</v>
      </c>
      <c r="B23" s="12">
        <f>B13-B22</f>
        <v>-414000</v>
      </c>
      <c r="C23" s="12">
        <f>C13-C22</f>
        <v>-608000</v>
      </c>
      <c r="D23" s="12">
        <f>D13-D22</f>
        <v>-250000</v>
      </c>
      <c r="E23" s="12">
        <f>E13-E22</f>
        <v>1210000</v>
      </c>
      <c r="F23" s="12">
        <f>F13-F22</f>
        <v>4620000</v>
      </c>
    </row>
    <row r="24" spans="1:6" ht="15" customHeight="1" x14ac:dyDescent="0.3">
      <c r="A24" s="13" t="s">
        <v>70</v>
      </c>
      <c r="B24" s="14" t="str">
        <f>IF(B7=0,"",B23/B7)</f>
        <v/>
      </c>
      <c r="C24" s="14">
        <f>IF(C7=0,"",C23/C7)</f>
        <v>-1.216</v>
      </c>
      <c r="D24" s="14">
        <f>IF(D7=0,"",D23/D7)</f>
        <v>-0.125</v>
      </c>
      <c r="E24" s="14">
        <f>IF(E7=0,"",E23/E7)</f>
        <v>0.20166666666666666</v>
      </c>
      <c r="F24" s="14">
        <f>IF(F7=0,"",F23/F7)</f>
        <v>0.308</v>
      </c>
    </row>
    <row r="25" spans="1:6" ht="14.25" customHeight="1" x14ac:dyDescent="0.3"/>
    <row r="26" spans="1:6" ht="14.25" customHeight="1" x14ac:dyDescent="0.3">
      <c r="A26" s="6" t="s">
        <v>47</v>
      </c>
    </row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</sheetData>
  <mergeCells count="5">
    <mergeCell ref="A2:F2"/>
    <mergeCell ref="A1:F1"/>
    <mergeCell ref="A8:F8"/>
    <mergeCell ref="A4:F4"/>
    <mergeCell ref="A15:F1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patil</cp:lastModifiedBy>
  <dcterms:created xsi:type="dcterms:W3CDTF">2026-06-05T02:09:58Z</dcterms:created>
  <dcterms:modified xsi:type="dcterms:W3CDTF">2026-06-28T10:06:41Z</dcterms:modified>
</cp:coreProperties>
</file>